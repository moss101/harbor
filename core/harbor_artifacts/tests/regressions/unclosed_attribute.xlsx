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CF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>
        <v>2024</v>
      </c>
      <c r="C1">
        <v>2025</v>
      </c>
      <c r="D1">
        <v>2026</v>
      </c>
      <c r="E1">
        <v>2027</v>
      </c>
    </row>
    <row r="2">
      <c r="A2" t="inlineStr">
        <is>
          <t>Revenue</t>
        </is>
      </c>
      <c r="B2">
        <v>1000</v>
      </c>
      <c r="C2">
        <f>B2*1.1</f>
        <v>1100</v>
      </c>
      <c r="D2">
        <v>1210</v>
      </c>
      <c r="E2">
        <f>D2*1.1</f>
        <v>1331</v>
      </c>
    </row>
    <row r="3">
      <c r="A3" t="inlineStr">
        <is>
          <t>Costs</t>
        </is>
      </c>
      <c r="B3">
        <v>600</v>
      </c>
      <c r="C3">
        <f>B3*1.05</f>
        <v>630</v>
      </c>
      <c r="D3">
        <f>C3*1.05</f>
        <v>661.5</v>
      </c>
      <c r="E3">
        <f>D3*1.05</f>
        <v>694.575</v>
      </c>
    </row>
    <row r="4">
      <c r="A4" t="inlineStr">
        <is>
          <t>EBIT</t>
        </is>
      </c>
      <c r="B4">
        <f>B2-B3</f>
        <v>400</v>
      </c>
      <c r="C4">
        <f>C2-C3</f>
        <v>470</v>
      </c>
      <c r="D4">
        <v>500</v>
      </c>
      <c r="E4">
        <f>E2-E3</f>
        <v>636.425</v>
      </c>
    </row>
    <row r="5">
      <c r="A5" t="inlineStr">
        <is>
          <t>Discount rate</t>
        </is>
      </c>
      <c r="B5">
        <f>[Assumptions.xlsx]Inputs!A1</f>
        <v>0.08</v>
      </c>
    </row>
    <row r="6">
      <c r="A6" t="inlineStr">
        <is>
          <t>Growth check</t>
        </is>
      </c>
      <c r="B6">
        <f>C2/B2-1</f>
        <v>0.1</v>
      </c>
      <c r="C6">
        <f>D2/C2-1</f>
        <v>0.1</v>
      </c>
      <c r="D6">
        <f>E2/D2-1</f>
        <v>0.1</v>
      </c>
    </row>
  </sheetData>
</worksheet>
</file>